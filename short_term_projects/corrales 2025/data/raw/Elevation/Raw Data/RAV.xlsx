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V" sheetId="1" r:id="rId4"/>
  </sheets>
  <definedNames/>
  <calcPr/>
</workbook>
</file>

<file path=xl/sharedStrings.xml><?xml version="1.0" encoding="utf-8"?>
<sst xmlns="http://schemas.openxmlformats.org/spreadsheetml/2006/main" count="207" uniqueCount="69">
  <si>
    <t>Name</t>
  </si>
  <si>
    <t>Code</t>
  </si>
  <si>
    <t>Easting</t>
  </si>
  <si>
    <t>Northing</t>
  </si>
  <si>
    <t>Elevation</t>
  </si>
  <si>
    <t>Description</t>
  </si>
  <si>
    <t>Longitude</t>
  </si>
  <si>
    <t>Latitude</t>
  </si>
  <si>
    <t>Ellipsoidal height (h)</t>
  </si>
  <si>
    <t>Origin</t>
  </si>
  <si>
    <t>N (Geoid18 height* calculated with NOAA)</t>
  </si>
  <si>
    <t>95% confident error (meters)</t>
  </si>
  <si>
    <t>Orthometeric Height (H=h-N)</t>
  </si>
  <si>
    <t>Easting RMS</t>
  </si>
  <si>
    <t>Northing RMS</t>
  </si>
  <si>
    <t>Elevation RMS</t>
  </si>
  <si>
    <t>Lateral RMS</t>
  </si>
  <si>
    <t>Antenna height</t>
  </si>
  <si>
    <t>Antenna height units</t>
  </si>
  <si>
    <t>Solution status</t>
  </si>
  <si>
    <t>Correction type</t>
  </si>
  <si>
    <t>Averaging start</t>
  </si>
  <si>
    <t>Averaging end</t>
  </si>
  <si>
    <t>Samples</t>
  </si>
  <si>
    <t>PDOP</t>
  </si>
  <si>
    <t>GDOP</t>
  </si>
  <si>
    <t>Base easting</t>
  </si>
  <si>
    <t>Base northing</t>
  </si>
  <si>
    <t>Base elevation</t>
  </si>
  <si>
    <t>Base longitude</t>
  </si>
  <si>
    <t>Base latitude</t>
  </si>
  <si>
    <t>Base ellipsoidal height</t>
  </si>
  <si>
    <t>Baseline</t>
  </si>
  <si>
    <t>Mount point</t>
  </si>
  <si>
    <t>CS name</t>
  </si>
  <si>
    <t>GPS Satellites</t>
  </si>
  <si>
    <t>GLONASS Satellites</t>
  </si>
  <si>
    <t>Galileo Satellites</t>
  </si>
  <si>
    <t>BeiDou Satellites</t>
  </si>
  <si>
    <t>QZSS Satellites</t>
  </si>
  <si>
    <t>center well</t>
  </si>
  <si>
    <t xml:space="preserve">elevation </t>
  </si>
  <si>
    <t>Global</t>
  </si>
  <si>
    <t>m</t>
  </si>
  <si>
    <t>FIX</t>
  </si>
  <si>
    <t>RTK</t>
  </si>
  <si>
    <t>2025-05-30 12:31:06.5 UTC-06:00</t>
  </si>
  <si>
    <t>Global CS</t>
  </si>
  <si>
    <t>center well1</t>
  </si>
  <si>
    <t>2025-05-30 12:31:15.5 UTC-06:00</t>
  </si>
  <si>
    <t>West well</t>
  </si>
  <si>
    <t>2025-05-30 12:37:21.2 UTC-06:00</t>
  </si>
  <si>
    <t>West well1</t>
  </si>
  <si>
    <t>2025-05-30 12:37:24.6 UTC-06:00</t>
  </si>
  <si>
    <t>east well</t>
  </si>
  <si>
    <t>2025-05-30 12:51:29.0 UTC-06:00</t>
  </si>
  <si>
    <t>east well1</t>
  </si>
  <si>
    <t>2025-05-30 12:51:32.4 UTC-06:00</t>
  </si>
  <si>
    <t>east well2</t>
  </si>
  <si>
    <t>2025-05-30 12:51:41.0 UTC-06:00</t>
  </si>
  <si>
    <t>water level Rio grande</t>
  </si>
  <si>
    <t>2025-05-30 13:16:20.2 UTC-06:00</t>
  </si>
  <si>
    <t>water level Rio grande1</t>
  </si>
  <si>
    <t>2025-05-30 13:16:22.2 UTC-06:00</t>
  </si>
  <si>
    <t>water level Rio grande2</t>
  </si>
  <si>
    <t>2025-05-30 13:16:27.4 UTC-06:00</t>
  </si>
  <si>
    <t>Corrected</t>
  </si>
  <si>
    <t>elevation</t>
  </si>
  <si>
    <t>2025-05-30 12:31:17.5 UTC-06:00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</si>
</sst>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F2" s="1" t="s">
        <v>41</v>
      </c>
      <c r="G2" s="1">
        <v>-106.63644181</v>
      </c>
      <c r="H2" s="1">
        <v>35.20558608</v>
      </c>
      <c r="I2" s="1">
        <v>1499.798</v>
      </c>
      <c r="J2" s="1" t="s">
        <v>42</v>
      </c>
      <c r="K2" s="1"/>
      <c r="L2" s="1"/>
      <c r="M2" s="1"/>
      <c r="N2" s="1">
        <v>0.006</v>
      </c>
      <c r="O2" s="1">
        <v>0.006</v>
      </c>
      <c r="P2" s="1">
        <v>0.017</v>
      </c>
      <c r="Q2" s="1">
        <v>0.008</v>
      </c>
      <c r="R2" s="1">
        <v>1.055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46</v>
      </c>
      <c r="X2" s="1">
        <v>1.0</v>
      </c>
      <c r="Y2" s="1">
        <v>1.8</v>
      </c>
      <c r="Z2" s="1">
        <v>2.1</v>
      </c>
      <c r="AD2" s="1">
        <v>-106.63685315</v>
      </c>
      <c r="AE2" s="1">
        <v>35.2053485</v>
      </c>
      <c r="AF2" s="1">
        <v>1501.691</v>
      </c>
      <c r="AG2" s="1">
        <v>45.819</v>
      </c>
      <c r="AI2" s="1" t="s">
        <v>47</v>
      </c>
      <c r="AJ2" s="1">
        <v>9.0</v>
      </c>
      <c r="AK2" s="1">
        <v>9.0</v>
      </c>
      <c r="AL2" s="1">
        <v>0.0</v>
      </c>
      <c r="AM2" s="1">
        <v>0.0</v>
      </c>
      <c r="AN2" s="1">
        <v>0.0</v>
      </c>
    </row>
    <row r="3">
      <c r="A3" s="1" t="s">
        <v>48</v>
      </c>
      <c r="F3" s="1" t="s">
        <v>41</v>
      </c>
      <c r="G3" s="1">
        <v>-106.63644178</v>
      </c>
      <c r="H3" s="1">
        <v>35.20558609</v>
      </c>
      <c r="I3" s="1">
        <v>1499.792</v>
      </c>
      <c r="J3" s="1" t="s">
        <v>42</v>
      </c>
      <c r="K3" s="1"/>
      <c r="L3" s="1"/>
      <c r="M3" s="1"/>
      <c r="N3" s="1">
        <v>0.006</v>
      </c>
      <c r="O3" s="1">
        <v>0.006</v>
      </c>
      <c r="P3" s="1">
        <v>0.017</v>
      </c>
      <c r="Q3" s="1">
        <v>0.008</v>
      </c>
      <c r="R3" s="1">
        <v>1.055</v>
      </c>
      <c r="S3" s="1" t="s">
        <v>43</v>
      </c>
      <c r="T3" s="1" t="s">
        <v>44</v>
      </c>
      <c r="U3" s="1" t="s">
        <v>45</v>
      </c>
      <c r="V3" s="1" t="s">
        <v>49</v>
      </c>
      <c r="W3" s="1" t="s">
        <v>49</v>
      </c>
      <c r="X3" s="1">
        <v>1.0</v>
      </c>
      <c r="Y3" s="1">
        <v>1.8</v>
      </c>
      <c r="Z3" s="1">
        <v>2.1</v>
      </c>
      <c r="AD3" s="1">
        <v>-106.63685315</v>
      </c>
      <c r="AE3" s="1">
        <v>35.2053485</v>
      </c>
      <c r="AF3" s="1">
        <v>1501.691</v>
      </c>
      <c r="AG3" s="1">
        <v>45.823</v>
      </c>
      <c r="AI3" s="1" t="s">
        <v>47</v>
      </c>
      <c r="AJ3" s="1">
        <v>9.0</v>
      </c>
      <c r="AK3" s="1">
        <v>9.0</v>
      </c>
      <c r="AL3" s="1">
        <v>0.0</v>
      </c>
      <c r="AM3" s="1">
        <v>0.0</v>
      </c>
      <c r="AN3" s="1">
        <v>0.0</v>
      </c>
    </row>
    <row r="4">
      <c r="A4" s="1" t="s">
        <v>50</v>
      </c>
      <c r="F4" s="1" t="s">
        <v>41</v>
      </c>
      <c r="G4" s="1">
        <v>-106.63661386</v>
      </c>
      <c r="H4" s="1">
        <v>35.20594665</v>
      </c>
      <c r="I4" s="1">
        <v>1499.752</v>
      </c>
      <c r="J4" s="1" t="s">
        <v>42</v>
      </c>
      <c r="K4" s="1"/>
      <c r="L4" s="1"/>
      <c r="M4" s="1"/>
      <c r="N4" s="1">
        <v>0.01</v>
      </c>
      <c r="O4" s="1">
        <v>0.01</v>
      </c>
      <c r="P4" s="1">
        <v>0.01</v>
      </c>
      <c r="Q4" s="1">
        <v>0.014</v>
      </c>
      <c r="R4" s="1">
        <v>1.037</v>
      </c>
      <c r="S4" s="1" t="s">
        <v>43</v>
      </c>
      <c r="T4" s="1" t="s">
        <v>44</v>
      </c>
      <c r="U4" s="1" t="s">
        <v>45</v>
      </c>
      <c r="V4" s="1" t="s">
        <v>51</v>
      </c>
      <c r="W4" s="1" t="s">
        <v>51</v>
      </c>
      <c r="X4" s="1">
        <v>1.0</v>
      </c>
      <c r="Y4" s="1">
        <v>1.7</v>
      </c>
      <c r="Z4" s="1">
        <v>1.9</v>
      </c>
      <c r="AD4" s="1">
        <v>-106.63685315</v>
      </c>
      <c r="AE4" s="1">
        <v>35.2053485</v>
      </c>
      <c r="AF4" s="1">
        <v>1501.691</v>
      </c>
      <c r="AG4" s="1">
        <v>69.87</v>
      </c>
      <c r="AI4" s="1" t="s">
        <v>47</v>
      </c>
      <c r="AJ4" s="1">
        <v>10.0</v>
      </c>
      <c r="AK4" s="1">
        <v>8.0</v>
      </c>
      <c r="AL4" s="1">
        <v>0.0</v>
      </c>
      <c r="AM4" s="1">
        <v>0.0</v>
      </c>
      <c r="AN4" s="1">
        <v>0.0</v>
      </c>
    </row>
    <row r="5">
      <c r="A5" s="1" t="s">
        <v>52</v>
      </c>
      <c r="F5" s="1" t="s">
        <v>41</v>
      </c>
      <c r="G5" s="1">
        <v>-106.6366139</v>
      </c>
      <c r="H5" s="1">
        <v>35.20594669</v>
      </c>
      <c r="I5" s="1">
        <v>1499.757</v>
      </c>
      <c r="J5" s="1" t="s">
        <v>42</v>
      </c>
      <c r="K5" s="1"/>
      <c r="L5" s="1"/>
      <c r="M5" s="1"/>
      <c r="N5" s="1">
        <v>0.01</v>
      </c>
      <c r="O5" s="1">
        <v>0.01</v>
      </c>
      <c r="P5" s="1">
        <v>0.01</v>
      </c>
      <c r="Q5" s="1">
        <v>0.014</v>
      </c>
      <c r="R5" s="1">
        <v>1.037</v>
      </c>
      <c r="S5" s="1" t="s">
        <v>43</v>
      </c>
      <c r="T5" s="1" t="s">
        <v>44</v>
      </c>
      <c r="U5" s="1" t="s">
        <v>45</v>
      </c>
      <c r="V5" s="1" t="s">
        <v>53</v>
      </c>
      <c r="W5" s="1" t="s">
        <v>53</v>
      </c>
      <c r="X5" s="1">
        <v>1.0</v>
      </c>
      <c r="Y5" s="1">
        <v>1.7</v>
      </c>
      <c r="Z5" s="1">
        <v>1.9</v>
      </c>
      <c r="AD5" s="1">
        <v>-106.63685315</v>
      </c>
      <c r="AE5" s="1">
        <v>35.2053485</v>
      </c>
      <c r="AF5" s="1">
        <v>1501.691</v>
      </c>
      <c r="AG5" s="1">
        <v>69.872</v>
      </c>
      <c r="AI5" s="1" t="s">
        <v>47</v>
      </c>
      <c r="AJ5" s="1">
        <v>10.0</v>
      </c>
      <c r="AK5" s="1">
        <v>8.0</v>
      </c>
      <c r="AL5" s="1">
        <v>0.0</v>
      </c>
      <c r="AM5" s="1">
        <v>0.0</v>
      </c>
      <c r="AN5" s="1">
        <v>0.0</v>
      </c>
    </row>
    <row r="6">
      <c r="A6" s="1" t="s">
        <v>54</v>
      </c>
      <c r="F6" s="1" t="s">
        <v>41</v>
      </c>
      <c r="G6" s="1">
        <v>-106.63628703</v>
      </c>
      <c r="H6" s="1">
        <v>35.20524438</v>
      </c>
      <c r="I6" s="1">
        <v>1500.365</v>
      </c>
      <c r="J6" s="1" t="s">
        <v>42</v>
      </c>
      <c r="K6" s="1"/>
      <c r="L6" s="1"/>
      <c r="M6" s="1"/>
      <c r="N6" s="1">
        <v>0.006</v>
      </c>
      <c r="O6" s="1">
        <v>0.007</v>
      </c>
      <c r="P6" s="1">
        <v>0.017</v>
      </c>
      <c r="Q6" s="1">
        <v>0.009</v>
      </c>
      <c r="R6" s="1">
        <v>2.381</v>
      </c>
      <c r="S6" s="1" t="s">
        <v>43</v>
      </c>
      <c r="T6" s="1" t="s">
        <v>44</v>
      </c>
      <c r="U6" s="1" t="s">
        <v>45</v>
      </c>
      <c r="V6" s="1" t="s">
        <v>55</v>
      </c>
      <c r="W6" s="1" t="s">
        <v>55</v>
      </c>
      <c r="X6" s="1">
        <v>1.0</v>
      </c>
      <c r="Y6" s="1">
        <v>1.7</v>
      </c>
      <c r="Z6" s="1">
        <v>2.0</v>
      </c>
      <c r="AD6" s="1">
        <v>-106.63685315</v>
      </c>
      <c r="AE6" s="1">
        <v>35.2053485</v>
      </c>
      <c r="AF6" s="1">
        <v>1501.691</v>
      </c>
      <c r="AG6" s="1">
        <v>52.852</v>
      </c>
      <c r="AI6" s="1" t="s">
        <v>47</v>
      </c>
      <c r="AJ6" s="1">
        <v>10.0</v>
      </c>
      <c r="AK6" s="1">
        <v>8.0</v>
      </c>
      <c r="AL6" s="1">
        <v>0.0</v>
      </c>
      <c r="AM6" s="1">
        <v>0.0</v>
      </c>
      <c r="AN6" s="1">
        <v>0.0</v>
      </c>
    </row>
    <row r="7">
      <c r="A7" s="1" t="s">
        <v>56</v>
      </c>
      <c r="F7" s="1" t="s">
        <v>41</v>
      </c>
      <c r="G7" s="1">
        <v>-106.63628702</v>
      </c>
      <c r="H7" s="1">
        <v>35.20524437</v>
      </c>
      <c r="I7" s="1">
        <v>1500.36</v>
      </c>
      <c r="J7" s="1" t="s">
        <v>42</v>
      </c>
      <c r="K7" s="1"/>
      <c r="L7" s="1"/>
      <c r="M7" s="1"/>
      <c r="N7" s="1">
        <v>0.007</v>
      </c>
      <c r="O7" s="1">
        <v>0.007</v>
      </c>
      <c r="P7" s="1">
        <v>0.017</v>
      </c>
      <c r="Q7" s="1">
        <v>0.01</v>
      </c>
      <c r="R7" s="1">
        <v>2.381</v>
      </c>
      <c r="S7" s="1" t="s">
        <v>43</v>
      </c>
      <c r="T7" s="1" t="s">
        <v>44</v>
      </c>
      <c r="U7" s="1" t="s">
        <v>45</v>
      </c>
      <c r="V7" s="1" t="s">
        <v>57</v>
      </c>
      <c r="W7" s="1" t="s">
        <v>57</v>
      </c>
      <c r="X7" s="1">
        <v>1.0</v>
      </c>
      <c r="Y7" s="1">
        <v>1.7</v>
      </c>
      <c r="Z7" s="1">
        <v>2.0</v>
      </c>
      <c r="AD7" s="1">
        <v>-106.63685315</v>
      </c>
      <c r="AE7" s="1">
        <v>35.2053485</v>
      </c>
      <c r="AF7" s="1">
        <v>1501.691</v>
      </c>
      <c r="AG7" s="1">
        <v>52.854</v>
      </c>
      <c r="AI7" s="1" t="s">
        <v>47</v>
      </c>
      <c r="AJ7" s="1">
        <v>10.0</v>
      </c>
      <c r="AK7" s="1">
        <v>7.0</v>
      </c>
      <c r="AL7" s="1">
        <v>0.0</v>
      </c>
      <c r="AM7" s="1">
        <v>0.0</v>
      </c>
      <c r="AN7" s="1">
        <v>0.0</v>
      </c>
    </row>
    <row r="8">
      <c r="A8" s="1" t="s">
        <v>58</v>
      </c>
      <c r="F8" s="1" t="s">
        <v>41</v>
      </c>
      <c r="G8" s="1">
        <v>-106.63628703</v>
      </c>
      <c r="H8" s="1">
        <v>35.20524437</v>
      </c>
      <c r="I8" s="1">
        <v>1500.367</v>
      </c>
      <c r="J8" s="1" t="s">
        <v>42</v>
      </c>
      <c r="K8" s="1"/>
      <c r="L8" s="1"/>
      <c r="M8" s="1"/>
      <c r="N8" s="1">
        <v>0.006</v>
      </c>
      <c r="O8" s="1">
        <v>0.007</v>
      </c>
      <c r="P8" s="1">
        <v>0.017</v>
      </c>
      <c r="Q8" s="1">
        <v>0.009</v>
      </c>
      <c r="R8" s="1">
        <v>2.381</v>
      </c>
      <c r="S8" s="1" t="s">
        <v>43</v>
      </c>
      <c r="T8" s="1" t="s">
        <v>44</v>
      </c>
      <c r="U8" s="1" t="s">
        <v>45</v>
      </c>
      <c r="V8" s="1" t="s">
        <v>59</v>
      </c>
      <c r="W8" s="1" t="s">
        <v>59</v>
      </c>
      <c r="X8" s="1">
        <v>1.0</v>
      </c>
      <c r="Y8" s="1">
        <v>1.7</v>
      </c>
      <c r="Z8" s="1">
        <v>2.0</v>
      </c>
      <c r="AD8" s="1">
        <v>-106.63685315</v>
      </c>
      <c r="AE8" s="1">
        <v>35.2053485</v>
      </c>
      <c r="AF8" s="1">
        <v>1501.691</v>
      </c>
      <c r="AG8" s="1">
        <v>52.853</v>
      </c>
      <c r="AI8" s="1" t="s">
        <v>47</v>
      </c>
      <c r="AJ8" s="1">
        <v>10.0</v>
      </c>
      <c r="AK8" s="1">
        <v>7.0</v>
      </c>
      <c r="AL8" s="1">
        <v>0.0</v>
      </c>
      <c r="AM8" s="1">
        <v>0.0</v>
      </c>
      <c r="AN8" s="1">
        <v>0.0</v>
      </c>
    </row>
    <row r="9">
      <c r="A9" s="1" t="s">
        <v>60</v>
      </c>
      <c r="F9" s="1" t="s">
        <v>41</v>
      </c>
      <c r="G9" s="1">
        <v>-106.63623829</v>
      </c>
      <c r="H9" s="1">
        <v>35.20518778</v>
      </c>
      <c r="I9" s="1">
        <v>1499.316</v>
      </c>
      <c r="J9" s="1" t="s">
        <v>42</v>
      </c>
      <c r="K9" s="1"/>
      <c r="L9" s="1"/>
      <c r="M9" s="1"/>
      <c r="N9" s="1">
        <v>0.007</v>
      </c>
      <c r="O9" s="1">
        <v>0.009</v>
      </c>
      <c r="P9" s="1">
        <v>0.02</v>
      </c>
      <c r="Q9" s="1">
        <v>0.011</v>
      </c>
      <c r="R9" s="1">
        <v>1.79</v>
      </c>
      <c r="S9" s="1" t="s">
        <v>43</v>
      </c>
      <c r="T9" s="1" t="s">
        <v>44</v>
      </c>
      <c r="U9" s="1" t="s">
        <v>45</v>
      </c>
      <c r="V9" s="1" t="s">
        <v>61</v>
      </c>
      <c r="W9" s="1" t="s">
        <v>61</v>
      </c>
      <c r="X9" s="1">
        <v>1.0</v>
      </c>
      <c r="Y9" s="1">
        <v>1.7</v>
      </c>
      <c r="Z9" s="1">
        <v>2.0</v>
      </c>
      <c r="AD9" s="1">
        <v>-106.63685315</v>
      </c>
      <c r="AE9" s="1">
        <v>35.2053485</v>
      </c>
      <c r="AF9" s="1">
        <v>1501.691</v>
      </c>
      <c r="AG9" s="1">
        <v>58.777</v>
      </c>
      <c r="AI9" s="1" t="s">
        <v>47</v>
      </c>
      <c r="AJ9" s="1">
        <v>11.0</v>
      </c>
      <c r="AK9" s="1">
        <v>8.0</v>
      </c>
      <c r="AL9" s="1">
        <v>0.0</v>
      </c>
      <c r="AM9" s="1">
        <v>0.0</v>
      </c>
      <c r="AN9" s="1">
        <v>0.0</v>
      </c>
    </row>
    <row r="10">
      <c r="A10" s="1" t="s">
        <v>62</v>
      </c>
      <c r="F10" s="1" t="s">
        <v>41</v>
      </c>
      <c r="G10" s="1">
        <v>-106.63623829</v>
      </c>
      <c r="H10" s="1">
        <v>35.20518782</v>
      </c>
      <c r="I10" s="1">
        <v>1499.309</v>
      </c>
      <c r="J10" s="1" t="s">
        <v>42</v>
      </c>
      <c r="K10" s="1"/>
      <c r="L10" s="1"/>
      <c r="M10" s="1"/>
      <c r="N10" s="1">
        <v>0.007</v>
      </c>
      <c r="O10" s="1">
        <v>0.009</v>
      </c>
      <c r="P10" s="1">
        <v>0.02</v>
      </c>
      <c r="Q10" s="1">
        <v>0.011</v>
      </c>
      <c r="R10" s="1">
        <v>1.79</v>
      </c>
      <c r="S10" s="1" t="s">
        <v>43</v>
      </c>
      <c r="T10" s="1" t="s">
        <v>44</v>
      </c>
      <c r="U10" s="1" t="s">
        <v>45</v>
      </c>
      <c r="V10" s="1" t="s">
        <v>63</v>
      </c>
      <c r="W10" s="1" t="s">
        <v>63</v>
      </c>
      <c r="X10" s="1">
        <v>1.0</v>
      </c>
      <c r="Y10" s="1">
        <v>1.7</v>
      </c>
      <c r="Z10" s="1">
        <v>2.0</v>
      </c>
      <c r="AD10" s="1">
        <v>-106.63685315</v>
      </c>
      <c r="AE10" s="1">
        <v>35.2053485</v>
      </c>
      <c r="AF10" s="1">
        <v>1501.691</v>
      </c>
      <c r="AG10" s="1">
        <v>58.776</v>
      </c>
      <c r="AI10" s="1" t="s">
        <v>47</v>
      </c>
      <c r="AJ10" s="1">
        <v>11.0</v>
      </c>
      <c r="AK10" s="1">
        <v>8.0</v>
      </c>
      <c r="AL10" s="1">
        <v>0.0</v>
      </c>
      <c r="AM10" s="1">
        <v>0.0</v>
      </c>
      <c r="AN10" s="1">
        <v>0.0</v>
      </c>
    </row>
    <row r="11">
      <c r="A11" s="1" t="s">
        <v>64</v>
      </c>
      <c r="F11" s="1" t="s">
        <v>41</v>
      </c>
      <c r="G11" s="1">
        <v>-106.63623823</v>
      </c>
      <c r="H11" s="1">
        <v>35.20518767</v>
      </c>
      <c r="I11" s="1">
        <v>1499.344</v>
      </c>
      <c r="J11" s="1" t="s">
        <v>42</v>
      </c>
      <c r="K11" s="1"/>
      <c r="L11" s="1"/>
      <c r="M11" s="1"/>
      <c r="N11" s="1">
        <v>0.006</v>
      </c>
      <c r="O11" s="1">
        <v>0.009</v>
      </c>
      <c r="P11" s="1">
        <v>0.02</v>
      </c>
      <c r="Q11" s="1">
        <v>0.011</v>
      </c>
      <c r="R11" s="1">
        <v>1.79</v>
      </c>
      <c r="S11" s="1" t="s">
        <v>43</v>
      </c>
      <c r="T11" s="1" t="s">
        <v>44</v>
      </c>
      <c r="U11" s="1" t="s">
        <v>45</v>
      </c>
      <c r="V11" s="1" t="s">
        <v>65</v>
      </c>
      <c r="W11" s="1" t="s">
        <v>65</v>
      </c>
      <c r="X11" s="1">
        <v>1.0</v>
      </c>
      <c r="Y11" s="1">
        <v>1.7</v>
      </c>
      <c r="Z11" s="1">
        <v>2.0</v>
      </c>
      <c r="AD11" s="1">
        <v>-106.63685315</v>
      </c>
      <c r="AE11" s="1">
        <v>35.2053485</v>
      </c>
      <c r="AF11" s="1">
        <v>1501.691</v>
      </c>
      <c r="AG11" s="1">
        <v>58.786</v>
      </c>
      <c r="AI11" s="1" t="s">
        <v>47</v>
      </c>
      <c r="AJ11" s="1">
        <v>11.0</v>
      </c>
      <c r="AK11" s="1">
        <v>8.0</v>
      </c>
      <c r="AL11" s="1">
        <v>0.0</v>
      </c>
      <c r="AM11" s="1">
        <v>0.0</v>
      </c>
      <c r="AN11" s="1">
        <v>0.0</v>
      </c>
    </row>
    <row r="13">
      <c r="A13" s="1" t="s">
        <v>66</v>
      </c>
    </row>
    <row r="14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2" t="s">
        <v>8</v>
      </c>
      <c r="J14" s="3" t="s">
        <v>9</v>
      </c>
      <c r="K14" s="2" t="s">
        <v>10</v>
      </c>
      <c r="L14" s="2" t="s">
        <v>11</v>
      </c>
      <c r="M14" s="1" t="s">
        <v>12</v>
      </c>
      <c r="N14" s="3" t="s">
        <v>13</v>
      </c>
      <c r="O14" s="3" t="s">
        <v>14</v>
      </c>
      <c r="P14" s="3" t="s">
        <v>15</v>
      </c>
      <c r="Q14" s="3" t="s">
        <v>16</v>
      </c>
      <c r="R14" s="3" t="s">
        <v>17</v>
      </c>
      <c r="S14" s="3" t="s">
        <v>18</v>
      </c>
      <c r="T14" s="3" t="s">
        <v>19</v>
      </c>
      <c r="U14" s="3" t="s">
        <v>20</v>
      </c>
      <c r="V14" s="3" t="s">
        <v>21</v>
      </c>
      <c r="W14" s="3" t="s">
        <v>22</v>
      </c>
      <c r="X14" s="3" t="s">
        <v>23</v>
      </c>
      <c r="Y14" s="3" t="s">
        <v>24</v>
      </c>
      <c r="Z14" s="3" t="s">
        <v>25</v>
      </c>
      <c r="AA14" s="3" t="s">
        <v>26</v>
      </c>
      <c r="AB14" s="3" t="s">
        <v>27</v>
      </c>
      <c r="AC14" s="3" t="s">
        <v>28</v>
      </c>
      <c r="AD14" s="3" t="s">
        <v>29</v>
      </c>
      <c r="AE14" s="3" t="s">
        <v>30</v>
      </c>
      <c r="AF14" s="3" t="s">
        <v>31</v>
      </c>
      <c r="AG14" s="3" t="s">
        <v>32</v>
      </c>
      <c r="AH14" s="3" t="s">
        <v>33</v>
      </c>
      <c r="AI14" s="3" t="s">
        <v>34</v>
      </c>
      <c r="AJ14" s="3" t="s">
        <v>35</v>
      </c>
      <c r="AK14" s="3" t="s">
        <v>36</v>
      </c>
      <c r="AL14" s="3" t="s">
        <v>37</v>
      </c>
      <c r="AM14" s="3" t="s">
        <v>38</v>
      </c>
      <c r="AN14" s="3" t="s">
        <v>39</v>
      </c>
    </row>
    <row r="15">
      <c r="A15" s="2" t="s">
        <v>40</v>
      </c>
      <c r="C15" s="4"/>
      <c r="D15" s="4"/>
      <c r="E15" s="4"/>
      <c r="F15" s="3" t="s">
        <v>67</v>
      </c>
      <c r="G15" s="5">
        <v>-106.636</v>
      </c>
      <c r="H15" s="6">
        <v>35.2056</v>
      </c>
      <c r="I15" s="6">
        <v>1511.932</v>
      </c>
      <c r="J15" s="3" t="s">
        <v>42</v>
      </c>
      <c r="K15" s="2">
        <v>-21.222</v>
      </c>
      <c r="L15" s="2">
        <v>0.036</v>
      </c>
      <c r="M15" s="6">
        <f t="shared" ref="M15:M18" si="1">I15-K15</f>
        <v>1533.154</v>
      </c>
      <c r="N15" s="6">
        <v>0.006</v>
      </c>
      <c r="O15" s="6">
        <v>0.006</v>
      </c>
      <c r="P15" s="6">
        <v>0.016</v>
      </c>
      <c r="Q15" s="6">
        <v>0.008</v>
      </c>
      <c r="R15" s="6">
        <v>1.055</v>
      </c>
      <c r="S15" s="3" t="s">
        <v>43</v>
      </c>
      <c r="T15" s="3" t="s">
        <v>44</v>
      </c>
      <c r="U15" s="3" t="s">
        <v>45</v>
      </c>
      <c r="V15" s="3" t="s">
        <v>49</v>
      </c>
      <c r="W15" s="3" t="s">
        <v>68</v>
      </c>
      <c r="X15" s="6">
        <v>1.0</v>
      </c>
      <c r="Y15" s="6">
        <v>1.8</v>
      </c>
      <c r="Z15" s="6">
        <v>2.1</v>
      </c>
      <c r="AA15" s="4"/>
      <c r="AB15" s="4"/>
      <c r="AC15" s="4"/>
      <c r="AD15" s="6">
        <v>-106.637</v>
      </c>
      <c r="AE15" s="6">
        <v>35.20535</v>
      </c>
      <c r="AF15" s="6">
        <v>1501.691</v>
      </c>
      <c r="AG15" s="6">
        <v>45.823</v>
      </c>
      <c r="AH15" s="4"/>
      <c r="AI15" s="3" t="s">
        <v>47</v>
      </c>
      <c r="AJ15" s="6">
        <v>9.0</v>
      </c>
      <c r="AK15" s="6">
        <v>9.0</v>
      </c>
      <c r="AL15" s="6">
        <v>0.0</v>
      </c>
      <c r="AM15" s="6">
        <v>0.0</v>
      </c>
      <c r="AN15" s="6">
        <v>0.0</v>
      </c>
    </row>
    <row r="16">
      <c r="A16" s="3" t="s">
        <v>50</v>
      </c>
      <c r="B16" s="4"/>
      <c r="C16" s="4"/>
      <c r="D16" s="4"/>
      <c r="E16" s="4"/>
      <c r="F16" s="3" t="s">
        <v>67</v>
      </c>
      <c r="G16" s="6">
        <v>-106.637</v>
      </c>
      <c r="H16" s="6">
        <v>35.20596</v>
      </c>
      <c r="I16" s="6">
        <v>1511.809</v>
      </c>
      <c r="J16" s="3" t="s">
        <v>42</v>
      </c>
      <c r="K16" s="2">
        <v>-21.225</v>
      </c>
      <c r="L16" s="2">
        <v>0.036</v>
      </c>
      <c r="M16" s="6">
        <f t="shared" si="1"/>
        <v>1533.034</v>
      </c>
      <c r="N16" s="4"/>
      <c r="O16" s="4"/>
      <c r="P16" s="4"/>
      <c r="Q16" s="4"/>
      <c r="R16" s="6">
        <v>1.037</v>
      </c>
      <c r="S16" s="3" t="s">
        <v>43</v>
      </c>
      <c r="T16" s="3" t="s">
        <v>44</v>
      </c>
      <c r="U16" s="3" t="s">
        <v>45</v>
      </c>
      <c r="V16" s="3" t="s">
        <v>51</v>
      </c>
      <c r="W16" s="3" t="s">
        <v>51</v>
      </c>
      <c r="X16" s="6">
        <v>1.0</v>
      </c>
      <c r="Y16" s="6">
        <v>1.7</v>
      </c>
      <c r="Z16" s="6">
        <v>1.9</v>
      </c>
      <c r="AA16" s="4"/>
      <c r="AB16" s="4"/>
      <c r="AC16" s="4"/>
      <c r="AD16" s="6">
        <v>-106.637</v>
      </c>
      <c r="AE16" s="6">
        <v>35.20535</v>
      </c>
      <c r="AF16" s="6">
        <v>1501.691</v>
      </c>
      <c r="AG16" s="6">
        <v>69.87</v>
      </c>
      <c r="AH16" s="4"/>
      <c r="AI16" s="3" t="s">
        <v>47</v>
      </c>
      <c r="AJ16" s="6">
        <v>10.0</v>
      </c>
      <c r="AK16" s="6">
        <v>8.0</v>
      </c>
      <c r="AL16" s="6">
        <v>0.0</v>
      </c>
      <c r="AM16" s="6">
        <v>0.0</v>
      </c>
      <c r="AN16" s="6">
        <v>0.0</v>
      </c>
    </row>
    <row r="17">
      <c r="A17" s="2" t="s">
        <v>54</v>
      </c>
      <c r="C17" s="4"/>
      <c r="D17" s="4"/>
      <c r="E17" s="4"/>
      <c r="F17" s="3" t="s">
        <v>67</v>
      </c>
      <c r="G17" s="6">
        <v>-106.636</v>
      </c>
      <c r="H17" s="6">
        <v>35.20525</v>
      </c>
      <c r="I17" s="6">
        <v>1511.985</v>
      </c>
      <c r="J17" s="3" t="s">
        <v>42</v>
      </c>
      <c r="K17" s="2">
        <v>-21.223</v>
      </c>
      <c r="L17" s="2">
        <v>0.036</v>
      </c>
      <c r="M17" s="6">
        <f t="shared" si="1"/>
        <v>1533.208</v>
      </c>
      <c r="N17" s="4"/>
      <c r="O17" s="4"/>
      <c r="P17" s="4"/>
      <c r="Q17" s="4"/>
      <c r="R17" s="6">
        <v>2.381</v>
      </c>
      <c r="S17" s="3" t="s">
        <v>43</v>
      </c>
      <c r="T17" s="3" t="s">
        <v>44</v>
      </c>
      <c r="U17" s="3" t="s">
        <v>45</v>
      </c>
      <c r="V17" s="3" t="s">
        <v>59</v>
      </c>
      <c r="W17" s="3" t="s">
        <v>59</v>
      </c>
      <c r="X17" s="6">
        <v>1.0</v>
      </c>
      <c r="Y17" s="6">
        <v>1.7</v>
      </c>
      <c r="Z17" s="6">
        <v>2.0</v>
      </c>
      <c r="AA17" s="4"/>
      <c r="AB17" s="4"/>
      <c r="AC17" s="4"/>
      <c r="AD17" s="6">
        <v>-106.637</v>
      </c>
      <c r="AE17" s="6">
        <v>35.20535</v>
      </c>
      <c r="AF17" s="6">
        <v>1501.691</v>
      </c>
      <c r="AG17" s="6">
        <v>52.853</v>
      </c>
      <c r="AH17" s="4"/>
      <c r="AI17" s="3" t="s">
        <v>47</v>
      </c>
      <c r="AJ17" s="6">
        <v>10.0</v>
      </c>
      <c r="AK17" s="6">
        <v>7.0</v>
      </c>
      <c r="AL17" s="6">
        <v>0.0</v>
      </c>
      <c r="AM17" s="6">
        <v>0.0</v>
      </c>
      <c r="AN17" s="6">
        <v>0.0</v>
      </c>
    </row>
    <row r="18">
      <c r="A18" s="3" t="s">
        <v>60</v>
      </c>
      <c r="D18" s="4"/>
      <c r="E18" s="4"/>
      <c r="F18" s="3" t="s">
        <v>67</v>
      </c>
      <c r="G18" s="6">
        <v>-106.636</v>
      </c>
      <c r="H18" s="6">
        <v>35.2052</v>
      </c>
      <c r="I18" s="6">
        <v>1510.917</v>
      </c>
      <c r="J18" s="3" t="s">
        <v>42</v>
      </c>
      <c r="K18" s="2">
        <v>-21.223</v>
      </c>
      <c r="L18" s="2">
        <v>0.036</v>
      </c>
      <c r="M18" s="6">
        <f t="shared" si="1"/>
        <v>1532.14</v>
      </c>
      <c r="N18" s="4"/>
      <c r="O18" s="4"/>
      <c r="P18" s="4"/>
      <c r="Q18" s="4"/>
      <c r="R18" s="6">
        <v>1.79</v>
      </c>
      <c r="S18" s="3" t="s">
        <v>43</v>
      </c>
      <c r="T18" s="3" t="s">
        <v>44</v>
      </c>
      <c r="U18" s="3" t="s">
        <v>45</v>
      </c>
      <c r="V18" s="3" t="s">
        <v>61</v>
      </c>
      <c r="W18" s="3" t="s">
        <v>61</v>
      </c>
      <c r="X18" s="6">
        <v>1.0</v>
      </c>
      <c r="Y18" s="6">
        <v>1.7</v>
      </c>
      <c r="Z18" s="6">
        <v>2.0</v>
      </c>
      <c r="AA18" s="4"/>
      <c r="AB18" s="4"/>
      <c r="AC18" s="4"/>
      <c r="AD18" s="6">
        <v>-106.637</v>
      </c>
      <c r="AE18" s="6">
        <v>35.20535</v>
      </c>
      <c r="AF18" s="6">
        <v>1501.691</v>
      </c>
      <c r="AG18" s="6">
        <v>58.777</v>
      </c>
      <c r="AH18" s="4"/>
      <c r="AI18" s="3" t="s">
        <v>47</v>
      </c>
      <c r="AJ18" s="6">
        <v>11.0</v>
      </c>
      <c r="AK18" s="6">
        <v>8.0</v>
      </c>
      <c r="AL18" s="6">
        <v>0.0</v>
      </c>
      <c r="AM18" s="6">
        <v>0.0</v>
      </c>
      <c r="AN18" s="6">
        <v>0.0</v>
      </c>
    </row>
  </sheetData>
  <mergeCells count="3">
    <mergeCell ref="A15:B15"/>
    <mergeCell ref="A17:B17"/>
    <mergeCell ref="A18:C18"/>
  </mergeCells>
  <drawing r:id="rId1"/>
</worksheet>
</file>